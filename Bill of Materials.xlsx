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ara\Documents\Robotics\MARS\Micromouse Robot\starter-micromouse\"/>
    </mc:Choice>
  </mc:AlternateContent>
  <xr:revisionPtr revIDLastSave="0" documentId="13_ncr:1_{073F3E87-98BA-45AA-B94C-E5EEA4B72ED7}" xr6:coauthVersionLast="47" xr6:coauthVersionMax="47" xr10:uidLastSave="{00000000-0000-0000-0000-000000000000}"/>
  <bookViews>
    <workbookView xWindow="-103" yWindow="-103" windowWidth="19543" windowHeight="12377" xr2:uid="{D8282911-8599-4BCA-A27E-469AFAE5200B}"/>
  </bookViews>
  <sheets>
    <sheet name="Robot" sheetId="1" r:id="rId1"/>
    <sheet name="PC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6" i="1"/>
  <c r="G9" i="1"/>
  <c r="G10" i="1"/>
  <c r="G11" i="1"/>
  <c r="G12" i="1"/>
  <c r="G13" i="1"/>
  <c r="G14" i="1"/>
  <c r="G15" i="1"/>
</calcChain>
</file>

<file path=xl/sharedStrings.xml><?xml version="1.0" encoding="utf-8"?>
<sst xmlns="http://schemas.openxmlformats.org/spreadsheetml/2006/main" count="52" uniqueCount="29">
  <si>
    <t>Name</t>
  </si>
  <si>
    <t>Type</t>
  </si>
  <si>
    <t>Qty</t>
  </si>
  <si>
    <t>Cost</t>
  </si>
  <si>
    <t>Link</t>
  </si>
  <si>
    <t>Micromouse PCB Assembly</t>
  </si>
  <si>
    <t>Internally Manufactured</t>
  </si>
  <si>
    <t>-</t>
  </si>
  <si>
    <t>Top Plate 3D Print</t>
  </si>
  <si>
    <t>Base Plate 3D Print</t>
  </si>
  <si>
    <t>Motor Clamp 3D Print</t>
  </si>
  <si>
    <t>Material</t>
  </si>
  <si>
    <t>PLA</t>
  </si>
  <si>
    <t>Subtotal</t>
  </si>
  <si>
    <t>Caster Ball Extension 3D Print</t>
  </si>
  <si>
    <t>IR Proximity Sensor</t>
  </si>
  <si>
    <t>Purchased</t>
  </si>
  <si>
    <t>N20 Motor 43mm Wheel</t>
  </si>
  <si>
    <t>Caster Ball</t>
  </si>
  <si>
    <t>Stainless Steel</t>
  </si>
  <si>
    <t>3.7V 1S 2000mAh LiPo Battery</t>
  </si>
  <si>
    <t>USB-C Lipo Charger</t>
  </si>
  <si>
    <t>Core Electronics</t>
  </si>
  <si>
    <t>M3 x 8mm Hex Button Screw</t>
  </si>
  <si>
    <t>Aliexpress</t>
  </si>
  <si>
    <t>Raspberry Pi Pico</t>
  </si>
  <si>
    <t>N20 Motor with Encoder (6V 100RPM)</t>
  </si>
  <si>
    <t>3D Printed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</si>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</sst>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C09]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2" xfId="0" applyFont="1" applyBorder="1"/>
    <xf numFmtId="0" fontId="0" fillId="0" borderId="3" xfId="0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2" fillId="0" borderId="6" xfId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2" fillId="0" borderId="9" xfId="1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164" fontId="0" fillId="0" borderId="11" xfId="0" applyNumberFormat="1" applyBorder="1"/>
    <xf numFmtId="0" fontId="0" fillId="0" borderId="12" xfId="0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8096943126.html?spm=a2g0o.order_list.order_list_main.137.22cc180200bAbP" TargetMode="External"/><Relationship Id="rId3" Type="http://schemas.openxmlformats.org/officeDocument/2006/relationships/hyperlink" Target="https://www.aliexpress.com/item/32967225441.html?spm=a2g0o.productlist.main.2.1b0aJHMkJHMk6H&amp;algo_pvid=cffde560-346f-4990-9f77-07e4fcc565b4&amp;algo_exp_id=cffde560-346f-4990-9f77-07e4fcc565b4-1&amp;pdp_ext_f=%7B%22order%22%3A%222891%22%2C%22eval%22%3A%221%22%2C%22fromPage%22%3A%22search%22%7D&amp;pdp_npi=6%40dis%21AUD%212.52%212.24%21%21%211.67%211.49%21%402101364d17677038435966614e0faf%2112000015921238894%21sea%21AU%212490466492%21X%211%210%21n_tag%3A-29919%3Bd%3A64378454%3Bm03_new_user%3A-29895%3BpisId%3A5000000198118901&amp;curPageLogUid=vMDo78oz88UZ&amp;utparam-url=scene%3Asearch%7Cquery_from%3A%7Cx_object_id%3A32967225441%7C_p_origin_prod%3A" TargetMode="External"/><Relationship Id="rId7" Type="http://schemas.openxmlformats.org/officeDocument/2006/relationships/hyperlink" Target="https://www.aliexpress.com/item/1005007811650639.html?spm=a2g0o.order_list.order_list_main.131.22cc180200bAbP" TargetMode="External"/><Relationship Id="rId2" Type="http://schemas.openxmlformats.org/officeDocument/2006/relationships/hyperlink" Target="https://core-electronics.com.au/makerverse-usb-c-lipo-charger.html" TargetMode="External"/><Relationship Id="rId1" Type="http://schemas.openxmlformats.org/officeDocument/2006/relationships/hyperlink" Target="https://core-electronics.com.au/polymer-lithium-ion-battery-2000mah-38459.html" TargetMode="External"/><Relationship Id="rId6" Type="http://schemas.openxmlformats.org/officeDocument/2006/relationships/hyperlink" Target="https://www.aliexpress.com/item/1005007571722097.html?spm=a2g0o.order_list.order_list_main.119.22cc180200bAbP" TargetMode="External"/><Relationship Id="rId5" Type="http://schemas.openxmlformats.org/officeDocument/2006/relationships/hyperlink" Target="https://www.aliexpress.com/item/1005007393927221.html?spm=a2g0o.order_list.order_list_main.101.22cc180200bAbP" TargetMode="External"/><Relationship Id="rId4" Type="http://schemas.openxmlformats.org/officeDocument/2006/relationships/hyperlink" Target="https://www.aliexpress.com/item/1005006749168692.html?spm=a2g0o.order_list.order_list_main.77.22cc180200bA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FDA7-DB39-471A-9625-FEFDB34EF5EC}">
  <dimension ref="B2:H17"/>
  <sheetViews>
    <sheetView tabSelected="1" workbookViewId="0">
      <selection activeCell="G14" sqref="G14"/>
    </sheetView>
  </sheetViews>
  <sheetFormatPr defaultRowHeight="14.6" x14ac:dyDescent="0.4"/>
  <cols>
    <col min="2" max="2" width="37.07421875" customWidth="1"/>
    <col min="3" max="3" width="20.3828125" customWidth="1"/>
    <col min="4" max="4" width="15.3828125" customWidth="1"/>
    <col min="6" max="6" width="7.921875" customWidth="1"/>
    <col min="8" max="8" width="19.3046875" customWidth="1"/>
  </cols>
  <sheetData>
    <row r="2" spans="2:8" ht="15" thickBot="1" x14ac:dyDescent="0.45"/>
    <row r="3" spans="2:8" ht="15" thickBot="1" x14ac:dyDescent="0.45">
      <c r="B3" s="19" t="s">
        <v>0</v>
      </c>
      <c r="C3" s="20" t="s">
        <v>1</v>
      </c>
      <c r="D3" s="20" t="s">
        <v>11</v>
      </c>
      <c r="E3" s="20" t="s">
        <v>2</v>
      </c>
      <c r="F3" s="20" t="s">
        <v>3</v>
      </c>
      <c r="G3" s="20" t="s">
        <v>13</v>
      </c>
      <c r="H3" s="21" t="s">
        <v>4</v>
      </c>
    </row>
    <row r="4" spans="2:8" x14ac:dyDescent="0.4">
      <c r="B4" s="14" t="s">
        <v>5</v>
      </c>
      <c r="C4" s="15" t="s">
        <v>6</v>
      </c>
      <c r="D4" s="15"/>
      <c r="E4" s="15">
        <v>1</v>
      </c>
      <c r="F4" s="16" t="s">
        <v>7</v>
      </c>
      <c r="G4" s="17"/>
      <c r="H4" s="18"/>
    </row>
    <row r="5" spans="2:8" x14ac:dyDescent="0.4">
      <c r="B5" s="7" t="s">
        <v>8</v>
      </c>
      <c r="C5" s="1" t="s">
        <v>27</v>
      </c>
      <c r="D5" s="1" t="s">
        <v>12</v>
      </c>
      <c r="E5" s="1">
        <v>1</v>
      </c>
      <c r="F5" s="3" t="s">
        <v>7</v>
      </c>
      <c r="G5" s="2"/>
      <c r="H5" s="8"/>
    </row>
    <row r="6" spans="2:8" x14ac:dyDescent="0.4">
      <c r="B6" s="7" t="s">
        <v>9</v>
      </c>
      <c r="C6" s="1" t="s">
        <v>27</v>
      </c>
      <c r="D6" s="1" t="s">
        <v>12</v>
      </c>
      <c r="E6" s="1">
        <v>1</v>
      </c>
      <c r="F6" s="3" t="s">
        <v>7</v>
      </c>
      <c r="G6" s="2"/>
      <c r="H6" s="8"/>
    </row>
    <row r="7" spans="2:8" x14ac:dyDescent="0.4">
      <c r="B7" s="7" t="s">
        <v>10</v>
      </c>
      <c r="C7" s="1" t="s">
        <v>27</v>
      </c>
      <c r="D7" s="1" t="s">
        <v>12</v>
      </c>
      <c r="E7" s="1">
        <v>2</v>
      </c>
      <c r="F7" s="3" t="s">
        <v>7</v>
      </c>
      <c r="G7" s="2"/>
      <c r="H7" s="8"/>
    </row>
    <row r="8" spans="2:8" x14ac:dyDescent="0.4">
      <c r="B8" s="7" t="s">
        <v>14</v>
      </c>
      <c r="C8" s="1" t="s">
        <v>27</v>
      </c>
      <c r="D8" s="1" t="s">
        <v>12</v>
      </c>
      <c r="E8" s="1">
        <v>1</v>
      </c>
      <c r="F8" s="3" t="s">
        <v>7</v>
      </c>
      <c r="G8" s="2"/>
      <c r="H8" s="8"/>
    </row>
    <row r="9" spans="2:8" x14ac:dyDescent="0.4">
      <c r="B9" s="7" t="s">
        <v>15</v>
      </c>
      <c r="C9" s="1" t="s">
        <v>16</v>
      </c>
      <c r="D9" s="1"/>
      <c r="E9" s="1">
        <v>3</v>
      </c>
      <c r="F9" s="2">
        <v>0.7</v>
      </c>
      <c r="G9" s="2">
        <f t="shared" ref="G5:G16" si="0">F9*E9</f>
        <v>2.0999999999999996</v>
      </c>
      <c r="H9" s="9" t="s">
        <v>24</v>
      </c>
    </row>
    <row r="10" spans="2:8" x14ac:dyDescent="0.4">
      <c r="B10" s="7" t="s">
        <v>26</v>
      </c>
      <c r="C10" s="1" t="s">
        <v>16</v>
      </c>
      <c r="D10" s="1"/>
      <c r="E10" s="1">
        <v>2</v>
      </c>
      <c r="F10" s="2">
        <v>9.33</v>
      </c>
      <c r="G10" s="2">
        <f t="shared" si="0"/>
        <v>18.66</v>
      </c>
      <c r="H10" s="9" t="s">
        <v>24</v>
      </c>
    </row>
    <row r="11" spans="2:8" x14ac:dyDescent="0.4">
      <c r="B11" s="7" t="s">
        <v>17</v>
      </c>
      <c r="C11" s="1" t="s">
        <v>16</v>
      </c>
      <c r="D11" s="1"/>
      <c r="E11" s="1">
        <v>2</v>
      </c>
      <c r="F11" s="2">
        <v>1.6</v>
      </c>
      <c r="G11" s="2">
        <f t="shared" si="0"/>
        <v>3.2</v>
      </c>
      <c r="H11" s="9" t="s">
        <v>24</v>
      </c>
    </row>
    <row r="12" spans="2:8" x14ac:dyDescent="0.4">
      <c r="B12" s="7" t="s">
        <v>18</v>
      </c>
      <c r="C12" s="1" t="s">
        <v>16</v>
      </c>
      <c r="D12" s="1"/>
      <c r="E12" s="1">
        <v>1</v>
      </c>
      <c r="F12" s="2">
        <v>0.5</v>
      </c>
      <c r="G12" s="2">
        <f t="shared" si="0"/>
        <v>0.5</v>
      </c>
      <c r="H12" s="9" t="s">
        <v>24</v>
      </c>
    </row>
    <row r="13" spans="2:8" x14ac:dyDescent="0.4">
      <c r="B13" s="7" t="s">
        <v>23</v>
      </c>
      <c r="C13" s="1" t="s">
        <v>16</v>
      </c>
      <c r="D13" s="1" t="s">
        <v>19</v>
      </c>
      <c r="E13" s="1">
        <v>15</v>
      </c>
      <c r="F13" s="2">
        <v>0.1</v>
      </c>
      <c r="G13" s="2">
        <f t="shared" si="0"/>
        <v>1.5</v>
      </c>
      <c r="H13" s="9" t="s">
        <v>24</v>
      </c>
    </row>
    <row r="14" spans="2:8" x14ac:dyDescent="0.4">
      <c r="B14" s="7" t="s">
        <v>20</v>
      </c>
      <c r="C14" s="1" t="s">
        <v>16</v>
      </c>
      <c r="D14" s="1"/>
      <c r="E14" s="1">
        <v>1</v>
      </c>
      <c r="F14" s="2">
        <v>15.3</v>
      </c>
      <c r="G14" s="2">
        <f t="shared" si="0"/>
        <v>15.3</v>
      </c>
      <c r="H14" s="9" t="s">
        <v>22</v>
      </c>
    </row>
    <row r="15" spans="2:8" x14ac:dyDescent="0.4">
      <c r="B15" s="7" t="s">
        <v>21</v>
      </c>
      <c r="C15" s="1" t="s">
        <v>16</v>
      </c>
      <c r="D15" s="1"/>
      <c r="E15" s="1">
        <v>1</v>
      </c>
      <c r="F15" s="2">
        <v>7.6</v>
      </c>
      <c r="G15" s="2">
        <f t="shared" si="0"/>
        <v>7.6</v>
      </c>
      <c r="H15" s="9" t="s">
        <v>22</v>
      </c>
    </row>
    <row r="16" spans="2:8" ht="15" thickBot="1" x14ac:dyDescent="0.45">
      <c r="B16" s="10" t="s">
        <v>25</v>
      </c>
      <c r="C16" s="11" t="s">
        <v>16</v>
      </c>
      <c r="D16" s="11"/>
      <c r="E16" s="11">
        <v>1</v>
      </c>
      <c r="F16" s="12">
        <v>3.89</v>
      </c>
      <c r="G16" s="12">
        <f t="shared" si="0"/>
        <v>3.89</v>
      </c>
      <c r="H16" s="13" t="s">
        <v>24</v>
      </c>
    </row>
    <row r="17" spans="5:7" ht="15" thickBot="1" x14ac:dyDescent="0.45">
      <c r="E17" s="4" t="s">
        <v>28</v>
      </c>
      <c r="F17" s="5"/>
      <c r="G17" s="6">
        <f>SUM(G9:G16)</f>
        <v>52.75</v>
      </c>
    </row>
  </sheetData>
  <hyperlinks>
    <hyperlink ref="H14" r:id="rId1" xr:uid="{B6FED2FF-46CB-4A4C-87DB-49DD690705A9}"/>
    <hyperlink ref="H15" r:id="rId2" xr:uid="{AD7531F6-4E56-4A4B-919B-2E2D3AC3BBF0}"/>
    <hyperlink ref="H13" r:id="rId3" xr:uid="{DEC149C6-B1EF-41DD-96E8-517041F802BA}"/>
    <hyperlink ref="H9" r:id="rId4" xr:uid="{53111A12-CAB2-4702-8F97-9B2D129727D8}"/>
    <hyperlink ref="H16" r:id="rId5" xr:uid="{094D2AD6-5E5E-44BE-B3CB-1AF489CDCD63}"/>
    <hyperlink ref="H10" r:id="rId6" xr:uid="{B10C6693-AC2E-4EC1-8F37-EA84B7AAB336}"/>
    <hyperlink ref="H11" r:id="rId7" xr:uid="{0F7A4E30-C3CA-47BC-A5D1-B132214F5C81}"/>
    <hyperlink ref="H12" r:id="rId8" xr:uid="{9B1B5851-34CF-40C1-ACF6-AA71F23A7E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588A-8ED7-426B-B55D-32952B9FF8A2}">
  <dimension ref="A1"/>
  <sheetViews>
    <sheetView workbookViewId="0">
      <selection activeCell="C4" sqref="C4"/>
    </sheetView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Robot</vt:lpstr>
      <vt:lpstr>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Binara Wasala</dc:creator>
  <cp:lastModifiedBy>Binara Wasala</cp:lastModifiedBy>
  <dcterms:created xsi:type="dcterms:W3CDTF">2026-01-06T12:40:46Z</dcterms:created>
  <dcterms:modified xsi:type="dcterms:W3CDTF">2026-01-06T13:02:00Z</dcterms:modified>
</cp:coreProperties>
</file>