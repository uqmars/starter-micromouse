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nara\Downloads\"/>
    </mc:Choice>
  </mc:AlternateContent>
  <xr:revisionPtr revIDLastSave="0" documentId="13_ncr:1_{EE145852-ED5D-46A4-8603-5C905287A76F}" xr6:coauthVersionLast="47" xr6:coauthVersionMax="47" xr10:uidLastSave="{00000000-0000-0000-0000-000000000000}"/>
  <bookViews>
    <workbookView xWindow="-120" yWindow="-120" windowWidth="38640" windowHeight="21120" activeTab="1" xr2:uid="{D8282911-8599-4BCA-A27E-469AFAE5200B}"/>
  </bookViews>
  <sheets>
    <sheet name="Robot" sheetId="1" r:id="rId1"/>
    <sheet name="PCB"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2" l="1"/>
  <c r="I34" i="2"/>
  <c r="I32" i="2"/>
  <c r="I25" i="2"/>
  <c r="I26" i="2"/>
  <c r="I27" i="2"/>
  <c r="I28" i="2"/>
  <c r="I29" i="2"/>
  <c r="I30" i="2"/>
  <c r="I31" i="2"/>
  <c r="I24" i="2"/>
  <c r="K12" i="2"/>
  <c r="G17" i="1"/>
  <c r="G18" i="1"/>
  <c r="G19" i="1"/>
  <c r="G16" i="1"/>
  <c r="G9" i="1"/>
  <c r="G10" i="1"/>
  <c r="G11" i="1"/>
  <c r="G12" i="1"/>
  <c r="G13" i="1"/>
  <c r="G14" i="1"/>
  <c r="G15" i="1"/>
</calcChain>
</file>

<file path=xl/sharedStrings.xml><?xml version="1.0" encoding="utf-8"?>
<sst xmlns="http://schemas.openxmlformats.org/spreadsheetml/2006/main" count="155" uniqueCount="92">
  <si>
    <t>Name</t>
  </si>
  <si>
    <t>Type</t>
  </si>
  <si>
    <t>Qty</t>
  </si>
  <si>
    <t>Cost</t>
  </si>
  <si>
    <t>Link</t>
  </si>
  <si>
    <t>Micromouse PCB Assembly</t>
  </si>
  <si>
    <t>Internally Manufactured</t>
  </si>
  <si>
    <t>-</t>
  </si>
  <si>
    <t>Top Plate 3D Print</t>
  </si>
  <si>
    <t>Base Plate 3D Print</t>
  </si>
  <si>
    <t>Motor Clamp 3D Print</t>
  </si>
  <si>
    <t>Material</t>
  </si>
  <si>
    <t>PLA</t>
  </si>
  <si>
    <t>Subtotal</t>
  </si>
  <si>
    <t>Caster Ball Extension 3D Print</t>
  </si>
  <si>
    <t>IR Proximity Sensor</t>
  </si>
  <si>
    <t>Purchased</t>
  </si>
  <si>
    <t>N20 Motor 43mm Wheel</t>
  </si>
  <si>
    <t>Caster Ball</t>
  </si>
  <si>
    <t>Stainless Steel</t>
  </si>
  <si>
    <t>3.7V 1S 2000mAh LiPo Battery</t>
  </si>
  <si>
    <t>USB-C Lipo Charger</t>
  </si>
  <si>
    <t>Core Electronics</t>
  </si>
  <si>
    <t>M3 x 8mm Hex Button Screw</t>
  </si>
  <si>
    <t>Aliexpress</t>
  </si>
  <si>
    <t>Raspberry Pi Pico</t>
  </si>
  <si>
    <t>N20 Motor with Encoder (6V 100RPM)</t>
  </si>
  <si>
    <t>3D Printed</t>
  </si>
  <si>
    <t>Total:</t>
  </si>
  <si>
    <t>JST XH 6-Pin Male/Female Pair (straight)</t>
  </si>
  <si>
    <t>JST PH 2-Pin Male PCB Connector (straight)</t>
  </si>
  <si>
    <t>CAP CER 0.1UF 50V X7R 0603</t>
  </si>
  <si>
    <t>KEMET</t>
  </si>
  <si>
    <t>C0603C104K5RACTU</t>
  </si>
  <si>
    <t>399-C0603C104K5RACTUCT-ND</t>
  </si>
  <si>
    <t>RES 220 OHM 5% 1/16W 0402</t>
  </si>
  <si>
    <t>YAGEO</t>
  </si>
  <si>
    <t>RC0402JR-13220RL</t>
  </si>
  <si>
    <t>13-RC0402JR-13220RLCT-ND</t>
  </si>
  <si>
    <t>RES 100K OHM 1% 1/16W 0402</t>
  </si>
  <si>
    <t>RC0402FR-07100KL</t>
  </si>
  <si>
    <t>311-100KLRCT-ND</t>
  </si>
  <si>
    <t>RES 10K OHM 5% 1/16W 0402</t>
  </si>
  <si>
    <t>RC0402JR-0710KL</t>
  </si>
  <si>
    <t>311-10KJRCT-ND</t>
  </si>
  <si>
    <t>12-V, 1.76-A BRUSHED DC MOTOR DR</t>
  </si>
  <si>
    <t>Texas Instruments</t>
  </si>
  <si>
    <t>DRV8210DRLR</t>
  </si>
  <si>
    <t>296-DRV8210DRLRCT-ND</t>
  </si>
  <si>
    <t>40V 550MV@2A 2A SOD-123FL</t>
  </si>
  <si>
    <t>Shenzhen Slkormicro Semicon Co., Ltd.</t>
  </si>
  <si>
    <t>DSK24</t>
  </si>
  <si>
    <t>5399-DSK24CT-ND</t>
  </si>
  <si>
    <t>20V 2.4A 140M@4.5V,2.4A 900MW 1.</t>
  </si>
  <si>
    <t>SL2301S</t>
  </si>
  <si>
    <t>5399-SL2301SCT-ND</t>
  </si>
  <si>
    <t>16 X 7.8 X 10.5 MM, 6 MM RAISED</t>
  </si>
  <si>
    <t>Same Sky (Formerly CUI Devices)</t>
  </si>
  <si>
    <t>SLW-1678105-6A-N-D</t>
  </si>
  <si>
    <t>2223-SLW-1678105-6A-N-D-ND</t>
  </si>
  <si>
    <t>Extended Price</t>
  </si>
  <si>
    <t>Unit Price</t>
  </si>
  <si>
    <t>Backorder</t>
  </si>
  <si>
    <t>Quantity</t>
  </si>
  <si>
    <t>Customer Reference</t>
  </si>
  <si>
    <t>Description</t>
  </si>
  <si>
    <t>Manufacturer</t>
  </si>
  <si>
    <t>Manufacturer Part Number</t>
  </si>
  <si>
    <t>DigiKey Part #</t>
  </si>
  <si>
    <t>Index</t>
  </si>
  <si>
    <t>Please note that the table shown above is the order placed to manufacture 16 robot units. This includes spare parts due to errors during manufacturing. Refer to the table below for exact quantities required for a single PCB</t>
  </si>
  <si>
    <t>PCB Designator</t>
  </si>
  <si>
    <t>SW2</t>
  </si>
  <si>
    <t>Q1, Q2</t>
  </si>
  <si>
    <t>D3</t>
  </si>
  <si>
    <t>U1, U2</t>
  </si>
  <si>
    <t>R3, R7</t>
  </si>
  <si>
    <t>R4</t>
  </si>
  <si>
    <t>R1, R2</t>
  </si>
  <si>
    <t>C1, C7, C6</t>
  </si>
  <si>
    <t>LED GREEN CLEAR SMD</t>
  </si>
  <si>
    <t>LTST-C170GKT</t>
  </si>
  <si>
    <t>LTST-C171KRKT</t>
  </si>
  <si>
    <t>160-1179-1-ND</t>
  </si>
  <si>
    <t>160-1427-1-ND</t>
  </si>
  <si>
    <t>D1</t>
  </si>
  <si>
    <t>D2</t>
  </si>
  <si>
    <t>LED RED CLEAR SMD</t>
  </si>
  <si>
    <t>Generic electrolytic capacitors will need to be purchased for (C2, C3, C4, and C5)</t>
  </si>
  <si>
    <t>Generic THT 6mm pushbutons should be purchased for (SW1, and SW2)</t>
  </si>
  <si>
    <t>2.54mm male pin headers should be purchased for most of the breakout pins</t>
  </si>
  <si>
    <t>2x20mm Female pin headers need to be purchased for mounting the Raspberry Pi on the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</si>
</sst>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C09]#,##0.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0" fillId="0" borderId="1" xfId="0" applyBorder="1"/>
    <xf numFmtId="164" fontId="0" fillId="0" borderId="1" xfId="0" applyNumberFormat="1" applyBorder="1"/>
    <xf numFmtId="0" fontId="0" fillId="0" borderId="1" xfId="0" applyBorder="1" applyAlignment="1">
      <alignment horizontal="center"/>
    </xf>
    <xf numFmtId="0" fontId="0" fillId="0" borderId="5" xfId="0" applyBorder="1"/>
    <xf numFmtId="0" fontId="0" fillId="0" borderId="6" xfId="0" applyBorder="1"/>
    <xf numFmtId="0" fontId="2" fillId="0" borderId="6" xfId="1" applyBorder="1"/>
    <xf numFmtId="0" fontId="0" fillId="0" borderId="7" xfId="0" applyBorder="1"/>
    <xf numFmtId="0" fontId="0" fillId="0" borderId="8" xfId="0" applyBorder="1"/>
    <xf numFmtId="164" fontId="0" fillId="0" borderId="8" xfId="0" applyNumberFormat="1" applyBorder="1"/>
    <xf numFmtId="0" fontId="2" fillId="0" borderId="9" xfId="1" applyBorder="1"/>
    <xf numFmtId="0" fontId="1" fillId="2" borderId="13" xfId="0" applyFont="1" applyFill="1" applyBorder="1"/>
    <xf numFmtId="0" fontId="1" fillId="2" borderId="14" xfId="0" applyFont="1" applyFill="1" applyBorder="1"/>
    <xf numFmtId="0" fontId="1" fillId="2" borderId="15" xfId="0" applyFont="1" applyFill="1" applyBorder="1"/>
    <xf numFmtId="0" fontId="0" fillId="0" borderId="1" xfId="0" applyFill="1" applyBorder="1"/>
    <xf numFmtId="0" fontId="0" fillId="0" borderId="16" xfId="0" applyBorder="1"/>
    <xf numFmtId="0" fontId="0" fillId="0" borderId="17" xfId="0" applyBorder="1"/>
    <xf numFmtId="0" fontId="0" fillId="0" borderId="17" xfId="0" applyBorder="1" applyAlignment="1">
      <alignment horizontal="center"/>
    </xf>
    <xf numFmtId="164" fontId="0" fillId="0" borderId="17" xfId="0" applyNumberFormat="1" applyBorder="1"/>
    <xf numFmtId="0" fontId="0" fillId="0" borderId="18" xfId="0" applyBorder="1"/>
    <xf numFmtId="0" fontId="0" fillId="0" borderId="5" xfId="0" applyFill="1" applyBorder="1"/>
    <xf numFmtId="0" fontId="0" fillId="0" borderId="7" xfId="0" applyFill="1" applyBorder="1"/>
    <xf numFmtId="0" fontId="0" fillId="0" borderId="8" xfId="0" applyFill="1" applyBorder="1"/>
    <xf numFmtId="0" fontId="1" fillId="0" borderId="0" xfId="0" applyFont="1"/>
    <xf numFmtId="8" fontId="0" fillId="0" borderId="1" xfId="0" applyNumberFormat="1" applyBorder="1"/>
    <xf numFmtId="8" fontId="0" fillId="0" borderId="17" xfId="0" applyNumberFormat="1" applyBorder="1"/>
    <xf numFmtId="8" fontId="0" fillId="0" borderId="18" xfId="0" applyNumberFormat="1" applyBorder="1"/>
    <xf numFmtId="8" fontId="0" fillId="0" borderId="6" xfId="0" applyNumberFormat="1" applyBorder="1"/>
    <xf numFmtId="8" fontId="0" fillId="0" borderId="19" xfId="0" applyNumberFormat="1" applyFill="1" applyBorder="1"/>
    <xf numFmtId="8" fontId="0" fillId="0" borderId="20" xfId="0" applyNumberFormat="1" applyFill="1" applyBorder="1"/>
    <xf numFmtId="8" fontId="0" fillId="0" borderId="8" xfId="0" applyNumberFormat="1" applyBorder="1"/>
    <xf numFmtId="8" fontId="0" fillId="0" borderId="9" xfId="0" applyNumberFormat="1" applyBorder="1"/>
    <xf numFmtId="0" fontId="1" fillId="3" borderId="10" xfId="0" applyFont="1" applyFill="1" applyBorder="1"/>
    <xf numFmtId="0" fontId="1" fillId="3" borderId="11" xfId="0" applyFont="1" applyFill="1" applyBorder="1"/>
    <xf numFmtId="0" fontId="1" fillId="3" borderId="12" xfId="0" applyFont="1" applyFill="1" applyBorder="1"/>
    <xf numFmtId="8" fontId="1" fillId="3" borderId="12" xfId="0" applyNumberFormat="1" applyFont="1" applyFill="1" applyBorder="1"/>
    <xf numFmtId="0" fontId="1" fillId="2" borderId="2" xfId="0" applyFont="1" applyFill="1" applyBorder="1"/>
    <xf numFmtId="0" fontId="1" fillId="2" borderId="3" xfId="0" applyFont="1" applyFill="1" applyBorder="1"/>
    <xf numFmtId="164" fontId="1" fillId="2" borderId="4"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liexpress.com/item/1005008096943126.html?spm=a2g0o.order_list.order_list_main.137.22cc180200bAbP" TargetMode="External"/><Relationship Id="rId3" Type="http://schemas.openxmlformats.org/officeDocument/2006/relationships/hyperlink" Target="https://www.aliexpress.com/item/32967225441.html?spm=a2g0o.productlist.main.2.1b0aJHMkJHMk6H&amp;algo_pvid=cffde560-346f-4990-9f77-07e4fcc565b4&amp;algo_exp_id=cffde560-346f-4990-9f77-07e4fcc565b4-1&amp;pdp_ext_f=%7B%22order%22%3A%222891%22%2C%22eval%22%3A%221%22%2C%22fromPage%22%3A%22search%22%7D&amp;pdp_npi=6%40dis%21AUD%212.52%212.24%21%21%211.67%211.49%21%402101364d17677038435966614e0faf%2112000015921238894%21sea%21AU%212490466492%21X%211%210%21n_tag%3A-29919%3Bd%3A64378454%3Bm03_new_user%3A-29895%3BpisId%3A5000000198118901&amp;curPageLogUid=vMDo78oz88UZ&amp;utparam-url=scene%3Asearch%7Cquery_from%3A%7Cx_object_id%3A32967225441%7C_p_origin_prod%3A" TargetMode="External"/><Relationship Id="rId7" Type="http://schemas.openxmlformats.org/officeDocument/2006/relationships/hyperlink" Target="https://www.aliexpress.com/item/1005007811650639.html?spm=a2g0o.order_list.order_list_main.131.22cc180200bAbP" TargetMode="External"/><Relationship Id="rId2" Type="http://schemas.openxmlformats.org/officeDocument/2006/relationships/hyperlink" Target="https://core-electronics.com.au/makerverse-usb-c-lipo-charger.html" TargetMode="External"/><Relationship Id="rId1" Type="http://schemas.openxmlformats.org/officeDocument/2006/relationships/hyperlink" Target="https://core-electronics.com.au/polymer-lithium-ion-battery-2000mah-38459.html" TargetMode="External"/><Relationship Id="rId6" Type="http://schemas.openxmlformats.org/officeDocument/2006/relationships/hyperlink" Target="https://www.aliexpress.com/item/1005007571722097.html?spm=a2g0o.order_list.order_list_main.119.22cc180200bAbP" TargetMode="External"/><Relationship Id="rId5" Type="http://schemas.openxmlformats.org/officeDocument/2006/relationships/hyperlink" Target="https://www.aliexpress.com/item/1005007393927221.html?spm=a2g0o.order_list.order_list_main.101.22cc180200bAbP" TargetMode="External"/><Relationship Id="rId10" Type="http://schemas.openxmlformats.org/officeDocument/2006/relationships/hyperlink" Target="https://www.aliexpress.com/item/1005004708000514.html?spm=a2g0o.order_list.order_list_main.101.41491802cIaIr2" TargetMode="External"/><Relationship Id="rId4" Type="http://schemas.openxmlformats.org/officeDocument/2006/relationships/hyperlink" Target="https://www.aliexpress.com/item/1005006749168692.html?spm=a2g0o.order_list.order_list_main.77.22cc180200bAbP" TargetMode="External"/><Relationship Id="rId9" Type="http://schemas.openxmlformats.org/officeDocument/2006/relationships/hyperlink" Target="https://www.aliexpress.com/item/1005007080333485.html?spm=a2g0o.order_list.order_list_main.89.41491802cIaIr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DA7-DB39-471A-9625-FEFDB34EF5EC}">
  <dimension ref="B2:H19"/>
  <sheetViews>
    <sheetView zoomScale="160" zoomScaleNormal="160" workbookViewId="0">
      <selection activeCell="L15" sqref="L15"/>
    </sheetView>
  </sheetViews>
  <sheetFormatPr defaultRowHeight="15" x14ac:dyDescent="0.25"/>
  <cols>
    <col min="2" max="2" width="37.140625" customWidth="1"/>
    <col min="3" max="3" width="20.42578125" customWidth="1"/>
    <col min="4" max="4" width="15.42578125" customWidth="1"/>
    <col min="6" max="6" width="7.85546875" customWidth="1"/>
    <col min="8" max="8" width="19.28515625" customWidth="1"/>
  </cols>
  <sheetData>
    <row r="2" spans="2:8" ht="15.75" thickBot="1" x14ac:dyDescent="0.3"/>
    <row r="3" spans="2:8" ht="15.75" thickBot="1" x14ac:dyDescent="0.3">
      <c r="B3" s="11" t="s">
        <v>0</v>
      </c>
      <c r="C3" s="12" t="s">
        <v>1</v>
      </c>
      <c r="D3" s="12" t="s">
        <v>11</v>
      </c>
      <c r="E3" s="12" t="s">
        <v>2</v>
      </c>
      <c r="F3" s="12" t="s">
        <v>3</v>
      </c>
      <c r="G3" s="12" t="s">
        <v>13</v>
      </c>
      <c r="H3" s="13" t="s">
        <v>4</v>
      </c>
    </row>
    <row r="4" spans="2:8" x14ac:dyDescent="0.25">
      <c r="B4" s="15" t="s">
        <v>5</v>
      </c>
      <c r="C4" s="16" t="s">
        <v>6</v>
      </c>
      <c r="D4" s="16"/>
      <c r="E4" s="16">
        <v>1</v>
      </c>
      <c r="F4" s="17" t="s">
        <v>7</v>
      </c>
      <c r="G4" s="18"/>
      <c r="H4" s="19"/>
    </row>
    <row r="5" spans="2:8" x14ac:dyDescent="0.25">
      <c r="B5" s="4" t="s">
        <v>8</v>
      </c>
      <c r="C5" s="1" t="s">
        <v>27</v>
      </c>
      <c r="D5" s="1" t="s">
        <v>12</v>
      </c>
      <c r="E5" s="1">
        <v>1</v>
      </c>
      <c r="F5" s="3" t="s">
        <v>7</v>
      </c>
      <c r="G5" s="2"/>
      <c r="H5" s="5"/>
    </row>
    <row r="6" spans="2:8" x14ac:dyDescent="0.25">
      <c r="B6" s="4" t="s">
        <v>9</v>
      </c>
      <c r="C6" s="1" t="s">
        <v>27</v>
      </c>
      <c r="D6" s="1" t="s">
        <v>12</v>
      </c>
      <c r="E6" s="1">
        <v>1</v>
      </c>
      <c r="F6" s="3" t="s">
        <v>7</v>
      </c>
      <c r="G6" s="2"/>
      <c r="H6" s="5"/>
    </row>
    <row r="7" spans="2:8" x14ac:dyDescent="0.25">
      <c r="B7" s="4" t="s">
        <v>10</v>
      </c>
      <c r="C7" s="1" t="s">
        <v>27</v>
      </c>
      <c r="D7" s="1" t="s">
        <v>12</v>
      </c>
      <c r="E7" s="1">
        <v>2</v>
      </c>
      <c r="F7" s="3" t="s">
        <v>7</v>
      </c>
      <c r="G7" s="2"/>
      <c r="H7" s="5"/>
    </row>
    <row r="8" spans="2:8" x14ac:dyDescent="0.25">
      <c r="B8" s="4" t="s">
        <v>14</v>
      </c>
      <c r="C8" s="1" t="s">
        <v>27</v>
      </c>
      <c r="D8" s="1" t="s">
        <v>12</v>
      </c>
      <c r="E8" s="1">
        <v>1</v>
      </c>
      <c r="F8" s="3" t="s">
        <v>7</v>
      </c>
      <c r="G8" s="2"/>
      <c r="H8" s="5"/>
    </row>
    <row r="9" spans="2:8" x14ac:dyDescent="0.25">
      <c r="B9" s="4" t="s">
        <v>15</v>
      </c>
      <c r="C9" s="1" t="s">
        <v>16</v>
      </c>
      <c r="D9" s="1"/>
      <c r="E9" s="1">
        <v>3</v>
      </c>
      <c r="F9" s="2">
        <v>0.7</v>
      </c>
      <c r="G9" s="2">
        <f t="shared" ref="G9:G18" si="0">F9*E9</f>
        <v>2.0999999999999996</v>
      </c>
      <c r="H9" s="6" t="s">
        <v>24</v>
      </c>
    </row>
    <row r="10" spans="2:8" x14ac:dyDescent="0.25">
      <c r="B10" s="4" t="s">
        <v>26</v>
      </c>
      <c r="C10" s="1" t="s">
        <v>16</v>
      </c>
      <c r="D10" s="1"/>
      <c r="E10" s="1">
        <v>2</v>
      </c>
      <c r="F10" s="2">
        <v>9.33</v>
      </c>
      <c r="G10" s="2">
        <f t="shared" si="0"/>
        <v>18.66</v>
      </c>
      <c r="H10" s="6" t="s">
        <v>24</v>
      </c>
    </row>
    <row r="11" spans="2:8" x14ac:dyDescent="0.25">
      <c r="B11" s="4" t="s">
        <v>17</v>
      </c>
      <c r="C11" s="1" t="s">
        <v>16</v>
      </c>
      <c r="D11" s="1"/>
      <c r="E11" s="1">
        <v>2</v>
      </c>
      <c r="F11" s="2">
        <v>1.6</v>
      </c>
      <c r="G11" s="2">
        <f t="shared" si="0"/>
        <v>3.2</v>
      </c>
      <c r="H11" s="6" t="s">
        <v>24</v>
      </c>
    </row>
    <row r="12" spans="2:8" x14ac:dyDescent="0.25">
      <c r="B12" s="4" t="s">
        <v>18</v>
      </c>
      <c r="C12" s="1" t="s">
        <v>16</v>
      </c>
      <c r="D12" s="1"/>
      <c r="E12" s="1">
        <v>1</v>
      </c>
      <c r="F12" s="2">
        <v>0.5</v>
      </c>
      <c r="G12" s="2">
        <f t="shared" si="0"/>
        <v>0.5</v>
      </c>
      <c r="H12" s="6" t="s">
        <v>24</v>
      </c>
    </row>
    <row r="13" spans="2:8" x14ac:dyDescent="0.25">
      <c r="B13" s="4" t="s">
        <v>23</v>
      </c>
      <c r="C13" s="1" t="s">
        <v>16</v>
      </c>
      <c r="D13" s="1" t="s">
        <v>19</v>
      </c>
      <c r="E13" s="1">
        <v>15</v>
      </c>
      <c r="F13" s="2">
        <v>0.1</v>
      </c>
      <c r="G13" s="2">
        <f t="shared" si="0"/>
        <v>1.5</v>
      </c>
      <c r="H13" s="6" t="s">
        <v>24</v>
      </c>
    </row>
    <row r="14" spans="2:8" x14ac:dyDescent="0.25">
      <c r="B14" s="4" t="s">
        <v>20</v>
      </c>
      <c r="C14" s="1" t="s">
        <v>16</v>
      </c>
      <c r="D14" s="1"/>
      <c r="E14" s="1">
        <v>1</v>
      </c>
      <c r="F14" s="2">
        <v>15.3</v>
      </c>
      <c r="G14" s="2">
        <f t="shared" si="0"/>
        <v>15.3</v>
      </c>
      <c r="H14" s="6" t="s">
        <v>22</v>
      </c>
    </row>
    <row r="15" spans="2:8" x14ac:dyDescent="0.25">
      <c r="B15" s="4" t="s">
        <v>21</v>
      </c>
      <c r="C15" s="1" t="s">
        <v>16</v>
      </c>
      <c r="D15" s="1"/>
      <c r="E15" s="1">
        <v>1</v>
      </c>
      <c r="F15" s="2">
        <v>7.6</v>
      </c>
      <c r="G15" s="2">
        <f t="shared" si="0"/>
        <v>7.6</v>
      </c>
      <c r="H15" s="6" t="s">
        <v>22</v>
      </c>
    </row>
    <row r="16" spans="2:8" x14ac:dyDescent="0.25">
      <c r="B16" s="4" t="s">
        <v>25</v>
      </c>
      <c r="C16" s="1" t="s">
        <v>16</v>
      </c>
      <c r="D16" s="1"/>
      <c r="E16" s="1">
        <v>1</v>
      </c>
      <c r="F16" s="2">
        <v>3.89</v>
      </c>
      <c r="G16" s="2">
        <f t="shared" si="0"/>
        <v>3.89</v>
      </c>
      <c r="H16" s="6" t="s">
        <v>24</v>
      </c>
    </row>
    <row r="17" spans="2:8" x14ac:dyDescent="0.25">
      <c r="B17" s="20" t="s">
        <v>29</v>
      </c>
      <c r="C17" s="14" t="s">
        <v>16</v>
      </c>
      <c r="D17" s="1"/>
      <c r="E17" s="14">
        <v>2</v>
      </c>
      <c r="F17" s="2">
        <v>0.33</v>
      </c>
      <c r="G17" s="2">
        <f t="shared" si="0"/>
        <v>0.66</v>
      </c>
      <c r="H17" s="6" t="s">
        <v>24</v>
      </c>
    </row>
    <row r="18" spans="2:8" ht="15.75" thickBot="1" x14ac:dyDescent="0.3">
      <c r="B18" s="21" t="s">
        <v>30</v>
      </c>
      <c r="C18" s="22" t="s">
        <v>16</v>
      </c>
      <c r="D18" s="8"/>
      <c r="E18" s="22">
        <v>1</v>
      </c>
      <c r="F18" s="9">
        <v>0.02</v>
      </c>
      <c r="G18" s="9">
        <f t="shared" si="0"/>
        <v>0.02</v>
      </c>
      <c r="H18" s="10" t="s">
        <v>24</v>
      </c>
    </row>
    <row r="19" spans="2:8" ht="15.75" thickBot="1" x14ac:dyDescent="0.3">
      <c r="E19" s="36" t="s">
        <v>28</v>
      </c>
      <c r="F19" s="37"/>
      <c r="G19" s="38">
        <f>SUM(G9:G16)</f>
        <v>52.75</v>
      </c>
    </row>
  </sheetData>
  <hyperlinks>
    <hyperlink ref="H14" r:id="rId1" xr:uid="{B6FED2FF-46CB-4A4C-87DB-49DD690705A9}"/>
    <hyperlink ref="H15" r:id="rId2" xr:uid="{AD7531F6-4E56-4A4B-919B-2E2D3AC3BBF0}"/>
    <hyperlink ref="H13" r:id="rId3" xr:uid="{DEC149C6-B1EF-41DD-96E8-517041F802BA}"/>
    <hyperlink ref="H9" r:id="rId4" xr:uid="{53111A12-CAB2-4702-8F97-9B2D129727D8}"/>
    <hyperlink ref="H16" r:id="rId5" xr:uid="{094D2AD6-5E5E-44BE-B3CB-1AF489CDCD63}"/>
    <hyperlink ref="H10" r:id="rId6" xr:uid="{B10C6693-AC2E-4EC1-8F37-EA84B7AAB336}"/>
    <hyperlink ref="H11" r:id="rId7" xr:uid="{0F7A4E30-C3CA-47BC-A5D1-B132214F5C81}"/>
    <hyperlink ref="H12" r:id="rId8" xr:uid="{9B1B5851-34CF-40C1-ACF6-AA71F23A7EE5}"/>
    <hyperlink ref="H17" r:id="rId9" xr:uid="{C73ED9CE-3D83-456B-BC7C-A1F1501D3094}"/>
    <hyperlink ref="H18" r:id="rId10" xr:uid="{12FF9B18-4C12-4B48-848B-0E540DFD81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588A-8ED7-426B-B55D-32952B9FF8A2}">
  <dimension ref="B2:K39"/>
  <sheetViews>
    <sheetView tabSelected="1" workbookViewId="0">
      <selection activeCell="M34" sqref="M34"/>
    </sheetView>
  </sheetViews>
  <sheetFormatPr defaultRowHeight="15" x14ac:dyDescent="0.25"/>
  <cols>
    <col min="3" max="3" width="41" customWidth="1"/>
    <col min="4" max="4" width="32.28515625" customWidth="1"/>
    <col min="5" max="5" width="41" customWidth="1"/>
    <col min="6" max="6" width="48.85546875" customWidth="1"/>
    <col min="9" max="9" width="14.5703125" customWidth="1"/>
    <col min="11" max="11" width="16" customWidth="1"/>
  </cols>
  <sheetData>
    <row r="2" spans="2:11" ht="15.75" thickBot="1" x14ac:dyDescent="0.3"/>
    <row r="3" spans="2:11" ht="15.75" thickBot="1" x14ac:dyDescent="0.3">
      <c r="B3" s="32" t="s">
        <v>69</v>
      </c>
      <c r="C3" s="33" t="s">
        <v>68</v>
      </c>
      <c r="D3" s="33" t="s">
        <v>67</v>
      </c>
      <c r="E3" s="33" t="s">
        <v>66</v>
      </c>
      <c r="F3" s="33" t="s">
        <v>65</v>
      </c>
      <c r="G3" s="33" t="s">
        <v>64</v>
      </c>
      <c r="H3" s="33" t="s">
        <v>63</v>
      </c>
      <c r="I3" s="33" t="s">
        <v>62</v>
      </c>
      <c r="J3" s="33" t="s">
        <v>61</v>
      </c>
      <c r="K3" s="34" t="s">
        <v>60</v>
      </c>
    </row>
    <row r="4" spans="2:11" x14ac:dyDescent="0.25">
      <c r="B4" s="15">
        <v>1</v>
      </c>
      <c r="C4" s="16" t="s">
        <v>59</v>
      </c>
      <c r="D4" s="16" t="s">
        <v>58</v>
      </c>
      <c r="E4" s="16" t="s">
        <v>57</v>
      </c>
      <c r="F4" s="16" t="s">
        <v>56</v>
      </c>
      <c r="G4" s="16"/>
      <c r="H4" s="16">
        <v>18</v>
      </c>
      <c r="I4" s="16">
        <v>0</v>
      </c>
      <c r="J4" s="25">
        <v>0.97899999999999998</v>
      </c>
      <c r="K4" s="26">
        <v>17.62</v>
      </c>
    </row>
    <row r="5" spans="2:11" x14ac:dyDescent="0.25">
      <c r="B5" s="4">
        <v>2</v>
      </c>
      <c r="C5" s="1" t="s">
        <v>55</v>
      </c>
      <c r="D5" s="1" t="s">
        <v>54</v>
      </c>
      <c r="E5" s="1" t="s">
        <v>50</v>
      </c>
      <c r="F5" s="1" t="s">
        <v>53</v>
      </c>
      <c r="G5" s="1"/>
      <c r="H5" s="1">
        <v>35</v>
      </c>
      <c r="I5" s="1">
        <v>0</v>
      </c>
      <c r="J5" s="24">
        <v>9.8000000000000004E-2</v>
      </c>
      <c r="K5" s="27">
        <v>3.43</v>
      </c>
    </row>
    <row r="6" spans="2:11" x14ac:dyDescent="0.25">
      <c r="B6" s="4">
        <v>3</v>
      </c>
      <c r="C6" s="1" t="s">
        <v>52</v>
      </c>
      <c r="D6" s="1" t="s">
        <v>51</v>
      </c>
      <c r="E6" s="1" t="s">
        <v>50</v>
      </c>
      <c r="F6" s="1" t="s">
        <v>49</v>
      </c>
      <c r="G6" s="1"/>
      <c r="H6" s="1">
        <v>35</v>
      </c>
      <c r="I6" s="1">
        <v>0</v>
      </c>
      <c r="J6" s="24">
        <v>0.106</v>
      </c>
      <c r="K6" s="27">
        <v>3.71</v>
      </c>
    </row>
    <row r="7" spans="2:11" x14ac:dyDescent="0.25">
      <c r="B7" s="4">
        <v>4</v>
      </c>
      <c r="C7" s="1" t="s">
        <v>48</v>
      </c>
      <c r="D7" s="1" t="s">
        <v>47</v>
      </c>
      <c r="E7" s="1" t="s">
        <v>46</v>
      </c>
      <c r="F7" s="1" t="s">
        <v>45</v>
      </c>
      <c r="G7" s="1"/>
      <c r="H7" s="1">
        <v>35</v>
      </c>
      <c r="I7" s="1">
        <v>0</v>
      </c>
      <c r="J7" s="24">
        <v>0.6976</v>
      </c>
      <c r="K7" s="27">
        <v>24.42</v>
      </c>
    </row>
    <row r="8" spans="2:11" x14ac:dyDescent="0.25">
      <c r="B8" s="4">
        <v>5</v>
      </c>
      <c r="C8" s="1" t="s">
        <v>44</v>
      </c>
      <c r="D8" s="1" t="s">
        <v>43</v>
      </c>
      <c r="E8" s="1" t="s">
        <v>36</v>
      </c>
      <c r="F8" s="1" t="s">
        <v>42</v>
      </c>
      <c r="G8" s="1"/>
      <c r="H8" s="1">
        <v>500</v>
      </c>
      <c r="I8" s="1">
        <v>0</v>
      </c>
      <c r="J8" s="24">
        <v>4.4799999999999996E-3</v>
      </c>
      <c r="K8" s="27">
        <v>2.2400000000000002</v>
      </c>
    </row>
    <row r="9" spans="2:11" x14ac:dyDescent="0.25">
      <c r="B9" s="4">
        <v>6</v>
      </c>
      <c r="C9" s="1" t="s">
        <v>41</v>
      </c>
      <c r="D9" s="1" t="s">
        <v>40</v>
      </c>
      <c r="E9" s="1" t="s">
        <v>36</v>
      </c>
      <c r="F9" s="1" t="s">
        <v>39</v>
      </c>
      <c r="G9" s="1"/>
      <c r="H9" s="1">
        <v>250</v>
      </c>
      <c r="I9" s="1">
        <v>0</v>
      </c>
      <c r="J9" s="24">
        <v>4.8999999999999998E-3</v>
      </c>
      <c r="K9" s="27">
        <v>1.23</v>
      </c>
    </row>
    <row r="10" spans="2:11" x14ac:dyDescent="0.25">
      <c r="B10" s="4">
        <v>7</v>
      </c>
      <c r="C10" s="1" t="s">
        <v>38</v>
      </c>
      <c r="D10" s="1" t="s">
        <v>37</v>
      </c>
      <c r="E10" s="1" t="s">
        <v>36</v>
      </c>
      <c r="F10" s="1" t="s">
        <v>35</v>
      </c>
      <c r="G10" s="1"/>
      <c r="H10" s="1">
        <v>100</v>
      </c>
      <c r="I10" s="1">
        <v>0</v>
      </c>
      <c r="J10" s="24">
        <v>4.1000000000000003E-3</v>
      </c>
      <c r="K10" s="27">
        <v>0.41</v>
      </c>
    </row>
    <row r="11" spans="2:11" ht="15.75" thickBot="1" x14ac:dyDescent="0.3">
      <c r="B11" s="7">
        <v>8</v>
      </c>
      <c r="C11" s="8" t="s">
        <v>34</v>
      </c>
      <c r="D11" s="8" t="s">
        <v>33</v>
      </c>
      <c r="E11" s="8" t="s">
        <v>32</v>
      </c>
      <c r="F11" s="8" t="s">
        <v>31</v>
      </c>
      <c r="G11" s="8"/>
      <c r="H11" s="8">
        <v>100</v>
      </c>
      <c r="I11" s="8">
        <v>0</v>
      </c>
      <c r="J11" s="30">
        <v>1.7000000000000001E-2</v>
      </c>
      <c r="K11" s="31">
        <v>1.7</v>
      </c>
    </row>
    <row r="12" spans="2:11" ht="15.75" thickBot="1" x14ac:dyDescent="0.3">
      <c r="J12" s="32" t="s">
        <v>13</v>
      </c>
      <c r="K12" s="35">
        <f>SUM(K4:K11)</f>
        <v>54.760000000000005</v>
      </c>
    </row>
    <row r="18" spans="2:9" x14ac:dyDescent="0.25">
      <c r="C18" s="23" t="s">
        <v>70</v>
      </c>
    </row>
    <row r="22" spans="2:9" ht="15.75" thickBot="1" x14ac:dyDescent="0.3"/>
    <row r="23" spans="2:9" ht="15.75" thickBot="1" x14ac:dyDescent="0.3">
      <c r="B23" s="32" t="s">
        <v>69</v>
      </c>
      <c r="C23" s="33" t="s">
        <v>68</v>
      </c>
      <c r="D23" s="33" t="s">
        <v>67</v>
      </c>
      <c r="E23" s="33" t="s">
        <v>71</v>
      </c>
      <c r="F23" s="33" t="s">
        <v>65</v>
      </c>
      <c r="G23" s="33" t="s">
        <v>63</v>
      </c>
      <c r="H23" s="33" t="s">
        <v>61</v>
      </c>
      <c r="I23" s="34" t="s">
        <v>60</v>
      </c>
    </row>
    <row r="24" spans="2:9" x14ac:dyDescent="0.25">
      <c r="B24" s="15">
        <v>1</v>
      </c>
      <c r="C24" s="16" t="s">
        <v>59</v>
      </c>
      <c r="D24" s="16" t="s">
        <v>58</v>
      </c>
      <c r="E24" s="16" t="s">
        <v>72</v>
      </c>
      <c r="F24" s="16" t="s">
        <v>56</v>
      </c>
      <c r="G24" s="16">
        <v>1</v>
      </c>
      <c r="H24" s="25">
        <v>0.97899999999999998</v>
      </c>
      <c r="I24" s="26">
        <f>H24*G24</f>
        <v>0.97899999999999998</v>
      </c>
    </row>
    <row r="25" spans="2:9" x14ac:dyDescent="0.25">
      <c r="B25" s="4">
        <v>2</v>
      </c>
      <c r="C25" s="1" t="s">
        <v>55</v>
      </c>
      <c r="D25" s="1" t="s">
        <v>54</v>
      </c>
      <c r="E25" s="1" t="s">
        <v>73</v>
      </c>
      <c r="F25" s="1" t="s">
        <v>53</v>
      </c>
      <c r="G25" s="1">
        <v>2</v>
      </c>
      <c r="H25" s="24">
        <v>9.8000000000000004E-2</v>
      </c>
      <c r="I25" s="27">
        <f t="shared" ref="I25:I33" si="0">H25*G25</f>
        <v>0.19600000000000001</v>
      </c>
    </row>
    <row r="26" spans="2:9" x14ac:dyDescent="0.25">
      <c r="B26" s="4">
        <v>3</v>
      </c>
      <c r="C26" s="1" t="s">
        <v>52</v>
      </c>
      <c r="D26" s="1" t="s">
        <v>51</v>
      </c>
      <c r="E26" s="1" t="s">
        <v>74</v>
      </c>
      <c r="F26" s="1" t="s">
        <v>49</v>
      </c>
      <c r="G26" s="1">
        <v>1</v>
      </c>
      <c r="H26" s="24">
        <v>0.106</v>
      </c>
      <c r="I26" s="27">
        <f t="shared" si="0"/>
        <v>0.106</v>
      </c>
    </row>
    <row r="27" spans="2:9" x14ac:dyDescent="0.25">
      <c r="B27" s="4">
        <v>4</v>
      </c>
      <c r="C27" s="1" t="s">
        <v>48</v>
      </c>
      <c r="D27" s="1" t="s">
        <v>47</v>
      </c>
      <c r="E27" s="1" t="s">
        <v>75</v>
      </c>
      <c r="F27" s="1" t="s">
        <v>45</v>
      </c>
      <c r="G27" s="1">
        <v>2</v>
      </c>
      <c r="H27" s="24">
        <v>0.6976</v>
      </c>
      <c r="I27" s="27">
        <f t="shared" si="0"/>
        <v>1.3952</v>
      </c>
    </row>
    <row r="28" spans="2:9" x14ac:dyDescent="0.25">
      <c r="B28" s="4">
        <v>5</v>
      </c>
      <c r="C28" s="1" t="s">
        <v>44</v>
      </c>
      <c r="D28" s="1" t="s">
        <v>43</v>
      </c>
      <c r="E28" s="1" t="s">
        <v>76</v>
      </c>
      <c r="F28" s="1" t="s">
        <v>42</v>
      </c>
      <c r="G28" s="1">
        <v>2</v>
      </c>
      <c r="H28" s="24">
        <v>4.4799999999999996E-3</v>
      </c>
      <c r="I28" s="27">
        <f t="shared" si="0"/>
        <v>8.9599999999999992E-3</v>
      </c>
    </row>
    <row r="29" spans="2:9" x14ac:dyDescent="0.25">
      <c r="B29" s="4">
        <v>6</v>
      </c>
      <c r="C29" s="1" t="s">
        <v>41</v>
      </c>
      <c r="D29" s="1" t="s">
        <v>40</v>
      </c>
      <c r="E29" s="1" t="s">
        <v>77</v>
      </c>
      <c r="F29" s="1" t="s">
        <v>39</v>
      </c>
      <c r="G29" s="1">
        <v>1</v>
      </c>
      <c r="H29" s="24">
        <v>4.8999999999999998E-3</v>
      </c>
      <c r="I29" s="27">
        <f t="shared" si="0"/>
        <v>4.8999999999999998E-3</v>
      </c>
    </row>
    <row r="30" spans="2:9" x14ac:dyDescent="0.25">
      <c r="B30" s="4">
        <v>7</v>
      </c>
      <c r="C30" s="1" t="s">
        <v>38</v>
      </c>
      <c r="D30" s="1" t="s">
        <v>37</v>
      </c>
      <c r="E30" s="1" t="s">
        <v>78</v>
      </c>
      <c r="F30" s="1" t="s">
        <v>35</v>
      </c>
      <c r="G30" s="1">
        <v>2</v>
      </c>
      <c r="H30" s="24">
        <v>4.1000000000000003E-3</v>
      </c>
      <c r="I30" s="27">
        <f t="shared" si="0"/>
        <v>8.2000000000000007E-3</v>
      </c>
    </row>
    <row r="31" spans="2:9" x14ac:dyDescent="0.25">
      <c r="B31" s="4">
        <v>8</v>
      </c>
      <c r="C31" s="1" t="s">
        <v>34</v>
      </c>
      <c r="D31" s="1" t="s">
        <v>33</v>
      </c>
      <c r="E31" s="1" t="s">
        <v>79</v>
      </c>
      <c r="F31" s="1" t="s">
        <v>31</v>
      </c>
      <c r="G31" s="1">
        <v>3</v>
      </c>
      <c r="H31" s="24">
        <v>1.7000000000000001E-2</v>
      </c>
      <c r="I31" s="27">
        <f t="shared" si="0"/>
        <v>5.1000000000000004E-2</v>
      </c>
    </row>
    <row r="32" spans="2:9" x14ac:dyDescent="0.25">
      <c r="B32" s="4">
        <v>9</v>
      </c>
      <c r="C32" s="1" t="s">
        <v>83</v>
      </c>
      <c r="D32" s="1" t="s">
        <v>81</v>
      </c>
      <c r="E32" s="1" t="s">
        <v>86</v>
      </c>
      <c r="F32" s="1" t="s">
        <v>80</v>
      </c>
      <c r="G32" s="1">
        <v>1</v>
      </c>
      <c r="H32" s="24">
        <v>0.16</v>
      </c>
      <c r="I32" s="27">
        <f t="shared" si="0"/>
        <v>0.16</v>
      </c>
    </row>
    <row r="33" spans="2:9" ht="15.75" thickBot="1" x14ac:dyDescent="0.3">
      <c r="B33" s="7">
        <v>10</v>
      </c>
      <c r="C33" s="8" t="s">
        <v>84</v>
      </c>
      <c r="D33" s="8" t="s">
        <v>82</v>
      </c>
      <c r="E33" s="8" t="s">
        <v>85</v>
      </c>
      <c r="F33" s="8" t="s">
        <v>87</v>
      </c>
      <c r="G33" s="8">
        <v>1</v>
      </c>
      <c r="H33" s="28">
        <v>0.21</v>
      </c>
      <c r="I33" s="29">
        <f t="shared" si="0"/>
        <v>0.21</v>
      </c>
    </row>
    <row r="34" spans="2:9" ht="15.75" thickBot="1" x14ac:dyDescent="0.3">
      <c r="H34" s="32" t="s">
        <v>13</v>
      </c>
      <c r="I34" s="35">
        <f>SUM(I24:I33)</f>
        <v>3.1192600000000006</v>
      </c>
    </row>
    <row r="36" spans="2:9" x14ac:dyDescent="0.25">
      <c r="B36" t="s">
        <v>88</v>
      </c>
    </row>
    <row r="37" spans="2:9" x14ac:dyDescent="0.25">
      <c r="B37" t="s">
        <v>89</v>
      </c>
    </row>
    <row r="38" spans="2:9" x14ac:dyDescent="0.25">
      <c r="B38" t="s">
        <v>90</v>
      </c>
    </row>
    <row r="39" spans="2:9" x14ac:dyDescent="0.25">
      <c r="B3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Robot</vt:lpstr>
      <vt:lpstr>PCB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Binara Wasala</dc:creator>
  <cp:lastModifiedBy>Binara Wasala</cp:lastModifiedBy>
  <dcterms:created xsi:type="dcterms:W3CDTF">2026-01-06T12:40:46Z</dcterms:created>
  <dcterms:modified xsi:type="dcterms:W3CDTF">2026-01-19T12:34:46Z</dcterms:modified>
</cp:coreProperties>
</file>